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60" windowWidth="20115" windowHeight="801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0" i="1"/>
  <c r="AG2" i="1"/>
  <c r="AF2" i="1"/>
  <c r="AE2" i="1"/>
  <c r="AC2" i="1"/>
  <c r="AD2" i="1"/>
  <c r="AA2" i="1"/>
  <c r="AB2" i="1"/>
  <c r="Z2" i="1"/>
  <c r="W3" i="1"/>
  <c r="W4" i="1"/>
  <c r="W5" i="1"/>
  <c r="W6" i="1"/>
  <c r="W7" i="1"/>
  <c r="W8" i="1"/>
  <c r="W9" i="1"/>
  <c r="W10" i="1"/>
  <c r="W2" i="1"/>
  <c r="X2" i="1"/>
  <c r="X3" i="1"/>
  <c r="X4" i="1"/>
  <c r="X5" i="1"/>
  <c r="X6" i="1"/>
  <c r="X7" i="1"/>
  <c r="X8" i="1"/>
  <c r="X9" i="1"/>
  <c r="X10" i="1"/>
  <c r="Y3" i="1"/>
  <c r="Y4" i="1"/>
  <c r="Y5" i="1"/>
  <c r="Y6" i="1"/>
  <c r="Y7" i="1"/>
  <c r="Y8" i="1"/>
  <c r="Y9" i="1"/>
  <c r="Y10" i="1"/>
  <c r="Y2" i="1"/>
  <c r="V3" i="1"/>
  <c r="V4" i="1"/>
  <c r="V5" i="1"/>
  <c r="V6" i="1"/>
  <c r="V7" i="1"/>
  <c r="V8" i="1"/>
  <c r="V9" i="1"/>
  <c r="V10" i="1"/>
  <c r="V2" i="1"/>
  <c r="T2" i="1"/>
  <c r="T3" i="1"/>
  <c r="T4" i="1"/>
  <c r="T5" i="1"/>
  <c r="T6" i="1"/>
  <c r="T7" i="1"/>
  <c r="T8" i="1"/>
  <c r="T9" i="1"/>
  <c r="T10" i="1"/>
  <c r="S3" i="1"/>
  <c r="S4" i="1"/>
  <c r="S5" i="1"/>
  <c r="S6" i="1"/>
  <c r="S7" i="1"/>
  <c r="S8" i="1"/>
  <c r="S9" i="1"/>
  <c r="S10" i="1"/>
  <c r="S2" i="1"/>
  <c r="R3" i="1"/>
  <c r="R4" i="1"/>
  <c r="R5" i="1"/>
  <c r="R6" i="1"/>
  <c r="R7" i="1"/>
  <c r="R8" i="1"/>
  <c r="R9" i="1"/>
  <c r="R10" i="1"/>
  <c r="R2" i="1"/>
  <c r="Q3" i="1"/>
  <c r="Q4" i="1"/>
  <c r="Q5" i="1"/>
  <c r="Q6" i="1"/>
  <c r="Q7" i="1"/>
  <c r="Q8" i="1"/>
  <c r="Q9" i="1"/>
  <c r="Q10" i="1"/>
  <c r="Q2" i="1"/>
  <c r="P3" i="1"/>
  <c r="P4" i="1"/>
  <c r="P5" i="1"/>
  <c r="P6" i="1"/>
  <c r="P7" i="1"/>
  <c r="P8" i="1"/>
  <c r="P9" i="1"/>
  <c r="P10" i="1"/>
  <c r="P2" i="1"/>
  <c r="O3" i="1"/>
  <c r="O4" i="1"/>
  <c r="O5" i="1"/>
  <c r="O6" i="1"/>
  <c r="O7" i="1"/>
  <c r="O8" i="1"/>
  <c r="O9" i="1"/>
  <c r="O10" i="1"/>
  <c r="O2" i="1"/>
  <c r="N3" i="1"/>
  <c r="N4" i="1"/>
  <c r="N5" i="1"/>
  <c r="N6" i="1"/>
  <c r="N7" i="1"/>
  <c r="N8" i="1"/>
  <c r="N9" i="1"/>
  <c r="N10" i="1"/>
  <c r="N2" i="1"/>
  <c r="M3" i="1" l="1"/>
  <c r="M4" i="1"/>
  <c r="M5" i="1"/>
  <c r="M6" i="1"/>
  <c r="M7" i="1"/>
  <c r="M8" i="1"/>
  <c r="M9" i="1"/>
  <c r="M10" i="1"/>
  <c r="M2" i="1"/>
  <c r="L3" i="1"/>
  <c r="L4" i="1"/>
  <c r="L5" i="1"/>
  <c r="L6" i="1"/>
  <c r="L7" i="1"/>
  <c r="L8" i="1"/>
  <c r="L9" i="1"/>
  <c r="L10" i="1"/>
  <c r="L2" i="1"/>
  <c r="K3" i="1"/>
  <c r="J3" i="1"/>
  <c r="K2" i="1"/>
  <c r="J2" i="1"/>
</calcChain>
</file>

<file path=xl/sharedStrings.xml><?xml version="1.0" encoding="utf-8"?>
<sst xmlns="http://schemas.openxmlformats.org/spreadsheetml/2006/main" count="68" uniqueCount="57">
  <si>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</si>
  <si>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</si>
  <si>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</si>
  <si>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</si>
  <si>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</si>
  <si>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</si>
  <si>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</si>
  <si>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</si>
  <si>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</si>
  <si>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Max</t>
  </si>
  <si>
    <t>Min</t>
  </si>
  <si>
    <t>Jim</t>
  </si>
  <si>
    <t>Male</t>
  </si>
  <si>
    <t>Salesman</t>
  </si>
  <si>
    <t>Pam</t>
  </si>
  <si>
    <t>Beasley</t>
  </si>
  <si>
    <t>Female</t>
  </si>
  <si>
    <t>Receptionist</t>
  </si>
  <si>
    <t>Dwight</t>
  </si>
  <si>
    <t>Schrute</t>
  </si>
  <si>
    <t>Angela</t>
  </si>
  <si>
    <t>Martin</t>
  </si>
  <si>
    <t>Accountant</t>
  </si>
  <si>
    <t>Toby</t>
  </si>
  <si>
    <t>Flenderson</t>
  </si>
  <si>
    <t>HR</t>
  </si>
  <si>
    <t>Michael</t>
  </si>
  <si>
    <t>Regional Manager</t>
  </si>
  <si>
    <t>Meredith</t>
  </si>
  <si>
    <t>Supplier Relations</t>
  </si>
  <si>
    <t>Stanley</t>
  </si>
  <si>
    <t>Hudson</t>
  </si>
  <si>
    <t>Kevin</t>
  </si>
  <si>
    <t>Malone</t>
  </si>
  <si>
    <t>IF</t>
  </si>
  <si>
    <t>LEN(B2)</t>
  </si>
  <si>
    <t>LEFT</t>
  </si>
  <si>
    <t>RIGHT</t>
  </si>
  <si>
    <t>TEXT("dd/mm/yyyy")</t>
  </si>
  <si>
    <t>YEAR</t>
  </si>
  <si>
    <t>TRIM</t>
  </si>
  <si>
    <t>CONCATENATE</t>
  </si>
  <si>
    <t xml:space="preserve"> Scott</t>
  </si>
  <si>
    <t xml:space="preserve"> Halpert</t>
  </si>
  <si>
    <t xml:space="preserve"> Palmer</t>
  </si>
  <si>
    <t xml:space="preserve">     </t>
  </si>
  <si>
    <t>with no instances</t>
  </si>
  <si>
    <t>with 2 instances</t>
  </si>
  <si>
    <t>with 1 instances</t>
  </si>
  <si>
    <t>SUM</t>
  </si>
  <si>
    <t>SUM IF</t>
  </si>
  <si>
    <t>SUM Ifs</t>
  </si>
  <si>
    <t>COUNT</t>
  </si>
  <si>
    <t>COUNT IF</t>
  </si>
  <si>
    <t>COUNT IFS</t>
  </si>
  <si>
    <t>DAYS</t>
  </si>
  <si>
    <t>NETWORKDAYS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</si>
</sst>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"/>
  <sheetViews>
    <sheetView tabSelected="1" topLeftCell="T1" workbookViewId="0">
      <selection activeCell="AG10" sqref="AG10"/>
    </sheetView>
  </sheetViews>
  <sheetFormatPr defaultRowHeight="15" x14ac:dyDescent="0.25"/>
  <cols>
    <col min="1" max="1" width="10.7109375" customWidth="1"/>
    <col min="6" max="6" width="17.42578125" customWidth="1"/>
    <col min="8" max="8" width="12.5703125" customWidth="1"/>
    <col min="9" max="9" width="10.85546875" customWidth="1"/>
    <col min="10" max="10" width="11.7109375" customWidth="1"/>
    <col min="11" max="11" width="9.7109375" bestFit="1" customWidth="1"/>
    <col min="13" max="13" width="15.28515625" customWidth="1"/>
    <col min="17" max="17" width="19.85546875" customWidth="1"/>
    <col min="18" max="18" width="20" customWidth="1"/>
    <col min="19" max="19" width="17.140625" customWidth="1"/>
    <col min="20" max="20" width="16.5703125" customWidth="1"/>
    <col min="22" max="22" width="27" customWidth="1"/>
    <col min="23" max="23" width="15.5703125" customWidth="1"/>
    <col min="24" max="24" width="19.42578125" customWidth="1"/>
    <col min="25" max="25" width="16.85546875" customWidth="1"/>
    <col min="31" max="31" width="11.57031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34</v>
      </c>
      <c r="M1" t="s">
        <v>35</v>
      </c>
      <c r="N1" t="s">
        <v>36</v>
      </c>
      <c r="O1" t="s">
        <v>37</v>
      </c>
      <c r="P1" t="s">
        <v>37</v>
      </c>
      <c r="Q1" t="s">
        <v>38</v>
      </c>
      <c r="R1" t="s">
        <v>39</v>
      </c>
      <c r="S1" t="s">
        <v>40</v>
      </c>
      <c r="T1" t="s">
        <v>41</v>
      </c>
      <c r="U1" t="s">
        <v>45</v>
      </c>
      <c r="W1" t="s">
        <v>48</v>
      </c>
      <c r="X1" t="s">
        <v>47</v>
      </c>
      <c r="Y1" t="s">
        <v>46</v>
      </c>
      <c r="Z1" t="s">
        <v>49</v>
      </c>
      <c r="AA1" t="s">
        <v>50</v>
      </c>
      <c r="AB1" t="s">
        <v>51</v>
      </c>
      <c r="AC1" t="s">
        <v>52</v>
      </c>
      <c r="AD1" t="s">
        <v>53</v>
      </c>
      <c r="AE1" t="s">
        <v>54</v>
      </c>
      <c r="AF1" t="s">
        <v>55</v>
      </c>
      <c r="AG1" t="s">
        <v>56</v>
      </c>
    </row>
    <row r="2" spans="1:33" x14ac:dyDescent="0.25">
      <c r="A2">
        <v>1001</v>
      </c>
      <c r="B2" t="s">
        <v>11</v>
      </c>
      <c r="C2" t="s">
        <v>43</v>
      </c>
      <c r="D2">
        <v>30</v>
      </c>
      <c r="E2" t="s">
        <v>12</v>
      </c>
      <c r="F2" t="s">
        <v>13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  <c r="L2" t="str">
        <f>IF(D2:D10&gt;30,"Old","Young")</f>
        <v>Young</v>
      </c>
      <c r="M2">
        <f>LEN(C2:C10)</f>
        <v>8</v>
      </c>
      <c r="N2" t="str">
        <f>LEFT(B1:B10,3)</f>
        <v>Jim</v>
      </c>
      <c r="O2" t="str">
        <f>RIGHT(A1:A10,1)</f>
        <v>1</v>
      </c>
      <c r="P2" t="str">
        <f>RIGHT(TEXT(I2,"m/d/yyyy"),4)</f>
        <v>2015</v>
      </c>
      <c r="Q2" t="str">
        <f>TEXT(H1:H10,"dd/mm/yyyy")</f>
        <v>02/11/2001</v>
      </c>
      <c r="R2" t="str">
        <f>RIGHT(Q2:Q10,4)</f>
        <v>2001</v>
      </c>
      <c r="S2" t="str">
        <f>TRIM(C2:C10)</f>
        <v>Halpert</v>
      </c>
      <c r="T2" t="str">
        <f>CONCATENATE(B2:B10," ",C2:C10)</f>
        <v>Jim  Halpert</v>
      </c>
      <c r="V2" t="str">
        <f>CONCATENATE(B2:B10,".",C2:C10,"@gmail.com")</f>
        <v>Jim. Halpert@gmail.com</v>
      </c>
      <c r="W2" t="str">
        <f xml:space="preserve"> SUBSTITUTE(Y2:Y10,"-","/",1)</f>
        <v>02/11-2001</v>
      </c>
      <c r="X2" t="str">
        <f>SUBSTITUTE(Y2:Y10,"-","/",2)</f>
        <v>02-11/2001</v>
      </c>
      <c r="Y2" t="str">
        <f>SUBSTITUTE(Q2:Q10,"/","-")</f>
        <v>02-11-2001</v>
      </c>
      <c r="Z2">
        <f>SUM(G2:G10)</f>
        <v>437000</v>
      </c>
      <c r="AA2">
        <f>SUMIF(G2:G10,"&gt;50000")</f>
        <v>128000</v>
      </c>
      <c r="AB2">
        <f>SUMIFS(G2:G10,E2:E10,"Female",D2:D10,"&gt;30")</f>
        <v>88000</v>
      </c>
      <c r="AC2">
        <f>COUNT(G2:G10)</f>
        <v>9</v>
      </c>
      <c r="AD2">
        <f>COUNTIF(G2:G10,"&gt;45000")</f>
        <v>5</v>
      </c>
      <c r="AE2">
        <f>COUNTIFS(A2:A10,"&gt;1005",E2:E10,"Male")</f>
        <v>3</v>
      </c>
      <c r="AF2">
        <f>DAYS360(H2:H10,I2:I10)</f>
        <v>4984</v>
      </c>
      <c r="AG2" t="e">
        <f>NETWORKDAYS(H2:H10,I2:I10)</f>
        <v>#VALUE!</v>
      </c>
    </row>
    <row r="3" spans="1:33" x14ac:dyDescent="0.25">
      <c r="A3">
        <v>1002</v>
      </c>
      <c r="B3" t="s">
        <v>14</v>
      </c>
      <c r="C3" t="s">
        <v>15</v>
      </c>
      <c r="D3">
        <v>30</v>
      </c>
      <c r="E3" t="s">
        <v>16</v>
      </c>
      <c r="F3" t="s">
        <v>17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MIN(G1:G10)</f>
        <v>36000</v>
      </c>
      <c r="L3" t="str">
        <f>IF(D3:D11&gt;30,"Old","Young")</f>
        <v>Young</v>
      </c>
      <c r="M3">
        <f t="shared" ref="M3:M10" si="0">LEN(C3:C11)</f>
        <v>7</v>
      </c>
      <c r="N3" t="str">
        <f t="shared" ref="N3:N10" si="1">LEFT(B2:B11,3)</f>
        <v>Pam</v>
      </c>
      <c r="O3" t="str">
        <f t="shared" ref="O3:O10" si="2">RIGHT(A2:A11,1)</f>
        <v>2</v>
      </c>
      <c r="P3" t="str">
        <f t="shared" ref="P3:P10" si="3">RIGHT(TEXT(I3,"m/d/yyyy"),4)</f>
        <v>2015</v>
      </c>
      <c r="Q3" t="str">
        <f t="shared" ref="Q3:Q10" si="4">TEXT(H2:H11,"dd/mm/yyyy")</f>
        <v>03/10/1999</v>
      </c>
      <c r="R3" t="str">
        <f t="shared" ref="R3:R10" si="5">RIGHT(Q3:Q11,4)</f>
        <v>1999</v>
      </c>
      <c r="S3" t="str">
        <f t="shared" ref="S3:S10" si="6">TRIM(C3:C11)</f>
        <v>Beasley</v>
      </c>
      <c r="T3" t="str">
        <f t="shared" ref="T3:T10" si="7">CONCATENATE(B3:B11," ",C3:C11)</f>
        <v>Pam Beasley</v>
      </c>
      <c r="V3" t="str">
        <f t="shared" ref="V3:V10" si="8">CONCATENATE(B3:B11,".",C3:C11,"@gmail.com")</f>
        <v>Pam.Beasley@gmail.com</v>
      </c>
      <c r="W3" t="str">
        <f t="shared" ref="W3:W10" si="9" xml:space="preserve"> SUBSTITUTE(Y3:Y11,"-","/",1)</f>
        <v>03/10-1999</v>
      </c>
      <c r="X3" t="str">
        <f t="shared" ref="X3:X10" si="10" xml:space="preserve"> SUBSTITUTE(Y3:Y11,"-","/",2)</f>
        <v>03-10/1999</v>
      </c>
      <c r="Y3" t="str">
        <f t="shared" ref="Y3:Y10" si="11">SUBSTITUTE(Q3:Q11,"/","-")</f>
        <v>03-10-1999</v>
      </c>
      <c r="AF3">
        <f t="shared" ref="AF3:AF10" si="12">DAYS360(H3:H11,I3:I11)</f>
        <v>5767</v>
      </c>
    </row>
    <row r="4" spans="1:33" x14ac:dyDescent="0.25">
      <c r="A4">
        <v>1003</v>
      </c>
      <c r="B4" t="s">
        <v>18</v>
      </c>
      <c r="C4" t="s">
        <v>19</v>
      </c>
      <c r="D4">
        <v>29</v>
      </c>
      <c r="E4" t="s">
        <v>12</v>
      </c>
      <c r="F4" t="s">
        <v>13</v>
      </c>
      <c r="G4">
        <v>63000</v>
      </c>
      <c r="H4" s="1">
        <v>36711</v>
      </c>
      <c r="I4" s="1">
        <v>42986</v>
      </c>
      <c r="L4" t="str">
        <f t="shared" ref="L4:L10" si="13">IF(D4:D12&gt;30,"Old","Young")</f>
        <v>Young</v>
      </c>
      <c r="M4">
        <f t="shared" si="0"/>
        <v>7</v>
      </c>
      <c r="N4" t="str">
        <f t="shared" si="1"/>
        <v>Dwi</v>
      </c>
      <c r="O4" t="str">
        <f t="shared" si="2"/>
        <v>3</v>
      </c>
      <c r="P4" t="str">
        <f t="shared" si="3"/>
        <v>2017</v>
      </c>
      <c r="Q4" t="str">
        <f t="shared" si="4"/>
        <v>04/07/2000</v>
      </c>
      <c r="R4" t="str">
        <f t="shared" si="5"/>
        <v>2000</v>
      </c>
      <c r="S4" t="str">
        <f t="shared" si="6"/>
        <v>Schrute</v>
      </c>
      <c r="T4" t="str">
        <f t="shared" si="7"/>
        <v>Dwight Schrute</v>
      </c>
      <c r="V4" t="str">
        <f t="shared" si="8"/>
        <v>Dwight.Schrute@gmail.com</v>
      </c>
      <c r="W4" t="str">
        <f t="shared" si="9"/>
        <v>04/07-2000</v>
      </c>
      <c r="X4" t="str">
        <f t="shared" si="10"/>
        <v>04-07/2000</v>
      </c>
      <c r="Y4" t="str">
        <f t="shared" si="11"/>
        <v>04-07-2000</v>
      </c>
      <c r="AF4">
        <f t="shared" si="12"/>
        <v>6184</v>
      </c>
    </row>
    <row r="5" spans="1:33" x14ac:dyDescent="0.25">
      <c r="A5">
        <v>1004</v>
      </c>
      <c r="B5" t="s">
        <v>20</v>
      </c>
      <c r="C5" t="s">
        <v>21</v>
      </c>
      <c r="D5">
        <v>31</v>
      </c>
      <c r="E5" t="s">
        <v>16</v>
      </c>
      <c r="F5" t="s">
        <v>22</v>
      </c>
      <c r="G5">
        <v>47000</v>
      </c>
      <c r="H5" s="1">
        <v>36530</v>
      </c>
      <c r="I5" s="1">
        <v>42341</v>
      </c>
      <c r="L5" t="str">
        <f t="shared" si="13"/>
        <v>Old</v>
      </c>
      <c r="M5">
        <f t="shared" si="0"/>
        <v>6</v>
      </c>
      <c r="N5" t="str">
        <f t="shared" si="1"/>
        <v>Ang</v>
      </c>
      <c r="O5" t="str">
        <f t="shared" si="2"/>
        <v>4</v>
      </c>
      <c r="P5" t="str">
        <f t="shared" si="3"/>
        <v>2015</v>
      </c>
      <c r="Q5" t="str">
        <f t="shared" si="4"/>
        <v>05/01/2000</v>
      </c>
      <c r="R5" t="str">
        <f t="shared" si="5"/>
        <v>2000</v>
      </c>
      <c r="S5" t="str">
        <f t="shared" si="6"/>
        <v>Martin</v>
      </c>
      <c r="T5" t="str">
        <f t="shared" si="7"/>
        <v>Angela Martin</v>
      </c>
      <c r="V5" t="str">
        <f t="shared" si="8"/>
        <v>Angela.Martin@gmail.com</v>
      </c>
      <c r="W5" t="str">
        <f t="shared" si="9"/>
        <v>05/01-2000</v>
      </c>
      <c r="X5" t="str">
        <f t="shared" si="10"/>
        <v>05-01/2000</v>
      </c>
      <c r="Y5" t="str">
        <f t="shared" si="11"/>
        <v>05-01-2000</v>
      </c>
      <c r="AF5">
        <f t="shared" si="12"/>
        <v>5728</v>
      </c>
    </row>
    <row r="6" spans="1:33" x14ac:dyDescent="0.25">
      <c r="A6">
        <v>1005</v>
      </c>
      <c r="B6" t="s">
        <v>23</v>
      </c>
      <c r="C6" t="s">
        <v>24</v>
      </c>
      <c r="D6">
        <v>32</v>
      </c>
      <c r="E6" t="s">
        <v>12</v>
      </c>
      <c r="F6" t="s">
        <v>25</v>
      </c>
      <c r="G6">
        <v>50000</v>
      </c>
      <c r="H6" s="1">
        <v>37017</v>
      </c>
      <c r="I6" s="1">
        <v>42977</v>
      </c>
      <c r="L6" t="str">
        <f t="shared" si="13"/>
        <v>Old</v>
      </c>
      <c r="M6">
        <f t="shared" si="0"/>
        <v>10</v>
      </c>
      <c r="N6" t="str">
        <f t="shared" si="1"/>
        <v>Tob</v>
      </c>
      <c r="O6" t="str">
        <f t="shared" si="2"/>
        <v>5</v>
      </c>
      <c r="P6" t="str">
        <f t="shared" si="3"/>
        <v>2017</v>
      </c>
      <c r="Q6" t="str">
        <f t="shared" si="4"/>
        <v>06/05/2001</v>
      </c>
      <c r="R6" t="str">
        <f t="shared" si="5"/>
        <v>2001</v>
      </c>
      <c r="S6" t="str">
        <f t="shared" si="6"/>
        <v>Flenderson</v>
      </c>
      <c r="T6" t="str">
        <f t="shared" si="7"/>
        <v>Toby Flenderson</v>
      </c>
      <c r="V6" t="str">
        <f t="shared" si="8"/>
        <v>Toby.Flenderson@gmail.com</v>
      </c>
      <c r="W6" t="str">
        <f t="shared" si="9"/>
        <v>06/05-2001</v>
      </c>
      <c r="X6" t="str">
        <f t="shared" si="10"/>
        <v>06-05/2001</v>
      </c>
      <c r="Y6" t="str">
        <f t="shared" si="11"/>
        <v>06-05-2001</v>
      </c>
      <c r="AF6">
        <f t="shared" si="12"/>
        <v>5874</v>
      </c>
    </row>
    <row r="7" spans="1:33" x14ac:dyDescent="0.25">
      <c r="A7">
        <v>1006</v>
      </c>
      <c r="B7" t="s">
        <v>26</v>
      </c>
      <c r="C7" t="s">
        <v>42</v>
      </c>
      <c r="D7">
        <v>35</v>
      </c>
      <c r="E7" t="s">
        <v>12</v>
      </c>
      <c r="F7" t="s">
        <v>27</v>
      </c>
      <c r="G7">
        <v>65000</v>
      </c>
      <c r="H7" s="1">
        <v>35040</v>
      </c>
      <c r="I7" s="1">
        <v>41528</v>
      </c>
      <c r="L7" t="str">
        <f t="shared" si="13"/>
        <v>Old</v>
      </c>
      <c r="M7">
        <f t="shared" si="0"/>
        <v>6</v>
      </c>
      <c r="N7" t="str">
        <f t="shared" si="1"/>
        <v>Mic</v>
      </c>
      <c r="O7" t="str">
        <f t="shared" si="2"/>
        <v>6</v>
      </c>
      <c r="P7" t="str">
        <f t="shared" si="3"/>
        <v>2013</v>
      </c>
      <c r="Q7" t="str">
        <f t="shared" si="4"/>
        <v>07/12/1995</v>
      </c>
      <c r="R7" t="str">
        <f t="shared" si="5"/>
        <v>1995</v>
      </c>
      <c r="S7" t="str">
        <f t="shared" si="6"/>
        <v>Scott</v>
      </c>
      <c r="T7" t="str">
        <f t="shared" si="7"/>
        <v>Michael  Scott</v>
      </c>
      <c r="V7" t="str">
        <f t="shared" si="8"/>
        <v>Michael. Scott@gmail.com</v>
      </c>
      <c r="W7" t="str">
        <f t="shared" si="9"/>
        <v>07/12-1995</v>
      </c>
      <c r="X7" t="str">
        <f t="shared" si="10"/>
        <v>07-12/1995</v>
      </c>
      <c r="Y7" t="str">
        <f t="shared" si="11"/>
        <v>07-12-1995</v>
      </c>
      <c r="AF7">
        <f t="shared" si="12"/>
        <v>6394</v>
      </c>
    </row>
    <row r="8" spans="1:33" x14ac:dyDescent="0.25">
      <c r="A8">
        <v>1007</v>
      </c>
      <c r="B8" t="s">
        <v>28</v>
      </c>
      <c r="C8" t="s">
        <v>44</v>
      </c>
      <c r="D8">
        <v>32</v>
      </c>
      <c r="E8" t="s">
        <v>16</v>
      </c>
      <c r="F8" t="s">
        <v>29</v>
      </c>
      <c r="G8">
        <v>41000</v>
      </c>
      <c r="H8" s="1">
        <v>37933</v>
      </c>
      <c r="I8" s="1">
        <v>41551</v>
      </c>
      <c r="L8" t="str">
        <f t="shared" si="13"/>
        <v>Old</v>
      </c>
      <c r="M8">
        <f t="shared" si="0"/>
        <v>7</v>
      </c>
      <c r="N8" t="str">
        <f t="shared" si="1"/>
        <v>Mer</v>
      </c>
      <c r="O8" t="str">
        <f t="shared" si="2"/>
        <v>7</v>
      </c>
      <c r="P8" t="str">
        <f t="shared" si="3"/>
        <v>2013</v>
      </c>
      <c r="Q8" t="str">
        <f t="shared" si="4"/>
        <v>08/11/2003</v>
      </c>
      <c r="R8" t="str">
        <f t="shared" si="5"/>
        <v>2003</v>
      </c>
      <c r="S8" t="str">
        <f t="shared" si="6"/>
        <v>Palmer</v>
      </c>
      <c r="T8" t="str">
        <f t="shared" si="7"/>
        <v>Meredith  Palmer</v>
      </c>
      <c r="V8" t="str">
        <f t="shared" si="8"/>
        <v>Meredith. Palmer@gmail.com</v>
      </c>
      <c r="W8" t="str">
        <f t="shared" si="9"/>
        <v>08/11-2003</v>
      </c>
      <c r="X8" t="str">
        <f t="shared" si="10"/>
        <v>08-11/2003</v>
      </c>
      <c r="Y8" t="str">
        <f t="shared" si="11"/>
        <v>08-11-2003</v>
      </c>
      <c r="AF8">
        <f t="shared" si="12"/>
        <v>3566</v>
      </c>
    </row>
    <row r="9" spans="1:33" x14ac:dyDescent="0.25">
      <c r="A9">
        <v>1008</v>
      </c>
      <c r="B9" t="s">
        <v>30</v>
      </c>
      <c r="C9" t="s">
        <v>31</v>
      </c>
      <c r="D9">
        <v>38</v>
      </c>
      <c r="E9" t="s">
        <v>12</v>
      </c>
      <c r="F9" t="s">
        <v>13</v>
      </c>
      <c r="G9">
        <v>48000</v>
      </c>
      <c r="H9" s="1">
        <v>37416</v>
      </c>
      <c r="I9" s="1">
        <v>42116</v>
      </c>
      <c r="L9" t="str">
        <f t="shared" si="13"/>
        <v>Old</v>
      </c>
      <c r="M9">
        <f t="shared" si="0"/>
        <v>6</v>
      </c>
      <c r="N9" t="str">
        <f t="shared" si="1"/>
        <v>Sta</v>
      </c>
      <c r="O9" t="str">
        <f t="shared" si="2"/>
        <v>8</v>
      </c>
      <c r="P9" t="str">
        <f t="shared" si="3"/>
        <v>2015</v>
      </c>
      <c r="Q9" t="str">
        <f t="shared" si="4"/>
        <v>09/06/2002</v>
      </c>
      <c r="R9" t="str">
        <f t="shared" si="5"/>
        <v>2002</v>
      </c>
      <c r="S9" t="str">
        <f t="shared" si="6"/>
        <v>Hudson</v>
      </c>
      <c r="T9" t="str">
        <f t="shared" si="7"/>
        <v>Stanley Hudson</v>
      </c>
      <c r="V9" t="str">
        <f t="shared" si="8"/>
        <v>Stanley.Hudson@gmail.com</v>
      </c>
      <c r="W9" t="str">
        <f t="shared" si="9"/>
        <v>09/06-2002</v>
      </c>
      <c r="X9" t="str">
        <f t="shared" si="10"/>
        <v>09-06/2002</v>
      </c>
      <c r="Y9" t="str">
        <f t="shared" si="11"/>
        <v>09-06-2002</v>
      </c>
      <c r="AF9">
        <f t="shared" si="12"/>
        <v>4633</v>
      </c>
    </row>
    <row r="10" spans="1:33" x14ac:dyDescent="0.25">
      <c r="A10">
        <v>1009</v>
      </c>
      <c r="B10" t="s">
        <v>32</v>
      </c>
      <c r="C10" t="s">
        <v>33</v>
      </c>
      <c r="D10">
        <v>31</v>
      </c>
      <c r="E10" t="s">
        <v>12</v>
      </c>
      <c r="F10" t="s">
        <v>22</v>
      </c>
      <c r="G10">
        <v>42000</v>
      </c>
      <c r="H10" s="1">
        <v>37843</v>
      </c>
      <c r="I10" s="1">
        <v>40800</v>
      </c>
      <c r="L10" t="str">
        <f t="shared" si="13"/>
        <v>Old</v>
      </c>
      <c r="M10">
        <f t="shared" si="0"/>
        <v>6</v>
      </c>
      <c r="N10" t="str">
        <f t="shared" si="1"/>
        <v>Kev</v>
      </c>
      <c r="O10" t="str">
        <f t="shared" si="2"/>
        <v>9</v>
      </c>
      <c r="P10" t="str">
        <f t="shared" si="3"/>
        <v>2011</v>
      </c>
      <c r="Q10" t="str">
        <f t="shared" si="4"/>
        <v>10/08/2003</v>
      </c>
      <c r="R10" t="str">
        <f t="shared" si="5"/>
        <v>2003</v>
      </c>
      <c r="S10" t="str">
        <f t="shared" si="6"/>
        <v>Malone</v>
      </c>
      <c r="T10" t="str">
        <f t="shared" si="7"/>
        <v>Kevin Malone</v>
      </c>
      <c r="V10" t="str">
        <f t="shared" si="8"/>
        <v>Kevin.Malone@gmail.com</v>
      </c>
      <c r="W10" t="str">
        <f t="shared" si="9"/>
        <v>10/08-2003</v>
      </c>
      <c r="X10" t="str">
        <f t="shared" si="10"/>
        <v>10-08/2003</v>
      </c>
      <c r="Y10" t="str">
        <f t="shared" si="11"/>
        <v>10-08-2003</v>
      </c>
      <c r="AF10">
        <f t="shared" si="12"/>
        <v>2914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2026-09-30T07:45:07Z</dcterms:created>
  <dcterms:modified xsi:type="dcterms:W3CDTF">2026-10-01T06:33:59Z</dcterms:modified>
</cp:coreProperties>
</file>